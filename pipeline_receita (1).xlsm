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k\OneDrive\Documentos\"/>
    </mc:Choice>
  </mc:AlternateContent>
  <xr:revisionPtr revIDLastSave="0" documentId="13_ncr:1_{3BF75148-C52B-4BBE-8E82-7624A58C11C5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Pipeline de Receita" sheetId="1" r:id="rId1"/>
  </sheets>
  <definedNames>
    <definedName name="_xlnm._FilterDatabase" localSheetId="0" hidden="1">'Pipeline de Receita'!$A$2:$F$37</definedName>
  </definedNames>
  <calcPr calcId="18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6" i="1" l="1"/>
  <c r="E11" i="1"/>
  <c r="E3" i="1"/>
  <c r="E8" i="1"/>
  <c r="E15" i="1"/>
  <c r="E9" i="1"/>
  <c r="E22" i="1"/>
  <c r="E27" i="1"/>
  <c r="E28" i="1"/>
  <c r="E29" i="1"/>
  <c r="E30" i="1"/>
  <c r="E31" i="1"/>
  <c r="E32" i="1"/>
  <c r="E33" i="1"/>
  <c r="E34" i="1"/>
  <c r="E35" i="1"/>
  <c r="E36" i="1"/>
  <c r="E37" i="1"/>
  <c r="E13" i="1"/>
  <c r="E19" i="1"/>
  <c r="E24" i="1"/>
  <c r="E21" i="1"/>
  <c r="E14" i="1"/>
  <c r="E26" i="1"/>
  <c r="E23" i="1"/>
  <c r="E20" i="1"/>
  <c r="E6" i="1"/>
  <c r="E4" i="1"/>
  <c r="E18" i="1"/>
  <c r="E7" i="1"/>
  <c r="E5" i="1"/>
  <c r="E17" i="1"/>
  <c r="E25" i="1"/>
  <c r="E10" i="1"/>
  <c r="E12" i="1"/>
  <c r="E40" i="1"/>
  <c r="B40" i="1"/>
  <c r="B39" i="1"/>
  <c r="E39" i="1" l="1"/>
  <c r="D39" i="1" s="1"/>
  <c r="D40" i="1"/>
</calcChain>
</file>

<file path=xl/sharedStrings.xml><?xml version="1.0" encoding="utf-8"?>
<sst xmlns="http://schemas.openxmlformats.org/spreadsheetml/2006/main" count="95" uniqueCount="43">
  <si>
    <t>PIPELINE DE RECEITA</t>
  </si>
  <si>
    <t>Cliente</t>
  </si>
  <si>
    <t>Valor (R$)</t>
  </si>
  <si>
    <t>Aplicação</t>
  </si>
  <si>
    <t>ROA (%)</t>
  </si>
  <si>
    <t>Receita Gerada (R$)</t>
  </si>
  <si>
    <t>Status</t>
  </si>
  <si>
    <t>Feito</t>
  </si>
  <si>
    <t>Não Feito</t>
  </si>
  <si>
    <t>TOTAL REALIZADO</t>
  </si>
  <si>
    <t>POTENCIAL TOTAL</t>
  </si>
  <si>
    <t>Lançado</t>
  </si>
  <si>
    <t>Passivo</t>
  </si>
  <si>
    <t>Carlos</t>
  </si>
  <si>
    <t>Alexandre</t>
  </si>
  <si>
    <t>Marlon</t>
  </si>
  <si>
    <t>Jeitto</t>
  </si>
  <si>
    <t>Credmei</t>
  </si>
  <si>
    <t>Deb Cemig</t>
  </si>
  <si>
    <t>Internacional - Câmbio</t>
  </si>
  <si>
    <t>TOKENMB</t>
  </si>
  <si>
    <t xml:space="preserve">Fábio </t>
  </si>
  <si>
    <t>J&amp;F</t>
  </si>
  <si>
    <t>Marcio</t>
  </si>
  <si>
    <t>Patricia</t>
  </si>
  <si>
    <t>Barbara</t>
  </si>
  <si>
    <t>Nayara</t>
  </si>
  <si>
    <t>Otavio</t>
  </si>
  <si>
    <t>Silvio</t>
  </si>
  <si>
    <t>Juan</t>
  </si>
  <si>
    <t>Helio Sch.</t>
  </si>
  <si>
    <t>Clarice</t>
  </si>
  <si>
    <t>Cambio</t>
  </si>
  <si>
    <t>Mensagem enviada</t>
  </si>
  <si>
    <t xml:space="preserve">Kelly </t>
  </si>
  <si>
    <t>Moniky</t>
  </si>
  <si>
    <t>NovoSaq</t>
  </si>
  <si>
    <t>MB</t>
  </si>
  <si>
    <t>Reserva</t>
  </si>
  <si>
    <t>Renda fixa</t>
  </si>
  <si>
    <t>ALAN</t>
  </si>
  <si>
    <t>Push enviado</t>
  </si>
  <si>
    <t xml:space="preserve">Silvio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</si>
</sst>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 &quot;#,##0.00;&quot;(R$ &quot;#,##0.00\);\-"/>
    <numFmt numFmtId="165" formatCode="0.00%;\-0.00%;\-"/>
  </numFmts>
  <fonts count="1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b/>
      <sz val="11"/>
      <color rgb="FFFFFFFF"/>
      <name val="Arial"/>
      <charset val="1"/>
    </font>
    <font>
      <sz val="10"/>
      <color rgb="FF0000FF"/>
      <name val="Arial"/>
      <family val="2"/>
      <charset val="1"/>
    </font>
    <font>
      <sz val="10"/>
      <color rgb="FF000000"/>
      <name val="Arial"/>
      <charset val="1"/>
    </font>
    <font>
      <sz val="10"/>
      <color rgb="FF0000FF"/>
      <name val="Arial"/>
      <charset val="1"/>
    </font>
    <font>
      <b/>
      <sz val="11"/>
      <color rgb="FF1F3864"/>
      <name val="Arial"/>
      <charset val="1"/>
    </font>
    <font>
      <b/>
      <sz val="11"/>
      <color rgb="FF276221"/>
      <name val="Arial"/>
      <charset val="1"/>
    </font>
    <font>
      <b/>
      <sz val="12"/>
      <color rgb="FFFFFFFF"/>
      <name val="Calibri"/>
      <family val="2"/>
    </font>
    <font>
      <sz val="10"/>
      <color rgb="FF0000FF"/>
      <name val="Arial"/>
      <family val="2"/>
    </font>
    <font>
      <b/>
      <sz val="10"/>
      <color rgb="FFFFF1C5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FFF"/>
        <bgColor rgb="FFEBF0FA"/>
      </patternFill>
    </fill>
    <fill>
      <patternFill patternType="solid">
        <fgColor rgb="FFEBF0FA"/>
        <bgColor rgb="FFE2EFDA"/>
      </patternFill>
    </fill>
    <fill>
      <patternFill patternType="solid">
        <fgColor rgb="FFD6E4F0"/>
        <bgColor rgb="FFDAE3F3"/>
      </patternFill>
    </fill>
    <fill>
      <patternFill patternType="solid">
        <fgColor rgb="FFE2EFDA"/>
        <bgColor rgb="FFEBF0FA"/>
      </patternFill>
    </fill>
  </fills>
  <borders count="10">
    <border>
      <left/>
      <right/>
      <top/>
      <bottom/>
      <diagonal/>
    </border>
    <border>
      <left/>
      <right style="thin">
        <color rgb="FFB0B8C9"/>
      </right>
      <top/>
      <bottom style="thin">
        <color rgb="FFB0B8C9"/>
      </bottom>
      <diagonal/>
    </border>
    <border>
      <left style="thin">
        <color rgb="FFB0B8C9"/>
      </left>
      <right style="thin">
        <color rgb="FFB0B8C9"/>
      </right>
      <top/>
      <bottom style="thin">
        <color rgb="FFB0B8C9"/>
      </bottom>
      <diagonal/>
    </border>
    <border>
      <left style="thin">
        <color rgb="FFB0B8C9"/>
      </left>
      <right/>
      <top/>
      <bottom style="thin">
        <color rgb="FFB0B8C9"/>
      </bottom>
      <diagonal/>
    </border>
    <border>
      <left/>
      <right style="thin">
        <color rgb="FFB0B8C9"/>
      </right>
      <top style="thin">
        <color rgb="FFB0B8C9"/>
      </top>
      <bottom style="thin">
        <color rgb="FFB0B8C9"/>
      </bottom>
      <diagonal/>
    </border>
    <border>
      <left style="thin">
        <color rgb="FFB0B8C9"/>
      </left>
      <right style="thin">
        <color rgb="FFB0B8C9"/>
      </right>
      <top style="thin">
        <color rgb="FFB0B8C9"/>
      </top>
      <bottom style="thin">
        <color rgb="FFB0B8C9"/>
      </bottom>
      <diagonal/>
    </border>
    <border>
      <left style="thin">
        <color rgb="FFB0B8C9"/>
      </left>
      <right/>
      <top style="thin">
        <color rgb="FFB0B8C9"/>
      </top>
      <bottom style="thin">
        <color rgb="FFB0B8C9"/>
      </bottom>
      <diagonal/>
    </border>
    <border>
      <left/>
      <right style="thin">
        <color rgb="FFB0B8C9"/>
      </right>
      <top style="thin">
        <color rgb="FFB0B8C9"/>
      </top>
      <bottom/>
      <diagonal/>
    </border>
    <border>
      <left style="thin">
        <color rgb="FFB0B8C9"/>
      </left>
      <right style="thin">
        <color rgb="FFB0B8C9"/>
      </right>
      <top style="thin">
        <color rgb="FFB0B8C9"/>
      </top>
      <bottom/>
      <diagonal/>
    </border>
    <border>
      <left style="thin">
        <color rgb="FFB0B8C9"/>
      </left>
      <right/>
      <top style="thin">
        <color rgb="FFB0B8C9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 indent="1"/>
      <protection locked="0"/>
    </xf>
    <xf numFmtId="164" fontId="3" fillId="0" borderId="5" xfId="0" applyNumberFormat="1" applyFont="1" applyBorder="1" applyAlignment="1" applyProtection="1">
      <alignment horizontal="right" vertical="center"/>
      <protection locked="0"/>
    </xf>
    <xf numFmtId="0" fontId="3" fillId="0" borderId="5" xfId="0" applyFont="1" applyBorder="1" applyAlignment="1" applyProtection="1">
      <alignment horizontal="left" vertical="center" indent="1"/>
      <protection locked="0"/>
    </xf>
    <xf numFmtId="165" fontId="3" fillId="0" borderId="5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>
      <alignment horizontal="right" vertical="center"/>
    </xf>
    <xf numFmtId="0" fontId="5" fillId="3" borderId="6" xfId="0" applyFont="1" applyFill="1" applyBorder="1" applyAlignment="1" applyProtection="1">
      <alignment horizontal="center" vertical="center"/>
      <protection locked="0"/>
    </xf>
    <xf numFmtId="0" fontId="5" fillId="4" borderId="6" xfId="0" applyFont="1" applyFill="1" applyBorder="1" applyAlignment="1" applyProtection="1">
      <alignment horizontal="center" vertical="center"/>
      <protection locked="0"/>
    </xf>
    <xf numFmtId="164" fontId="5" fillId="0" borderId="5" xfId="0" applyNumberFormat="1" applyFont="1" applyBorder="1" applyAlignment="1" applyProtection="1">
      <alignment horizontal="right" vertical="center"/>
      <protection locked="0"/>
    </xf>
    <xf numFmtId="165" fontId="5" fillId="0" borderId="5" xfId="0" applyNumberFormat="1" applyFont="1" applyBorder="1" applyAlignment="1" applyProtection="1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5" xfId="0" applyFont="1" applyFill="1" applyBorder="1"/>
    <xf numFmtId="165" fontId="6" fillId="5" borderId="5" xfId="0" applyNumberFormat="1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5" xfId="0" applyFont="1" applyFill="1" applyBorder="1"/>
    <xf numFmtId="165" fontId="7" fillId="6" borderId="5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  <xf numFmtId="164" fontId="5" fillId="0" borderId="2" xfId="0" applyNumberFormat="1" applyFont="1" applyBorder="1" applyAlignment="1">
      <alignment horizontal="right" vertical="center"/>
    </xf>
    <xf numFmtId="165" fontId="5" fillId="0" borderId="2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right" vertical="center"/>
    </xf>
    <xf numFmtId="0" fontId="5" fillId="3" borderId="2" xfId="0" applyFont="1" applyFill="1" applyBorder="1" applyAlignment="1">
      <alignment horizontal="center" vertical="center"/>
    </xf>
    <xf numFmtId="0" fontId="3" fillId="0" borderId="7" xfId="0" applyFont="1" applyBorder="1" applyAlignment="1" applyProtection="1">
      <alignment horizontal="left" vertical="center" indent="1"/>
      <protection locked="0"/>
    </xf>
    <xf numFmtId="0" fontId="3" fillId="0" borderId="8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center" vertical="center"/>
    </xf>
    <xf numFmtId="0" fontId="9" fillId="4" borderId="6" xfId="0" applyFont="1" applyFill="1" applyBorder="1" applyAlignment="1" applyProtection="1">
      <alignment horizontal="center" vertical="center"/>
      <protection locked="0"/>
    </xf>
    <xf numFmtId="164" fontId="9" fillId="0" borderId="5" xfId="0" applyNumberFormat="1" applyFont="1" applyBorder="1" applyAlignment="1" applyProtection="1">
      <alignment horizontal="right" vertical="center"/>
      <protection locked="0"/>
    </xf>
    <xf numFmtId="0" fontId="9" fillId="0" borderId="5" xfId="0" applyFont="1" applyBorder="1" applyAlignment="1" applyProtection="1">
      <alignment horizontal="left" vertical="center" indent="1"/>
      <protection locked="0"/>
    </xf>
    <xf numFmtId="165" fontId="9" fillId="0" borderId="5" xfId="0" applyNumberFormat="1" applyFont="1" applyBorder="1" applyAlignment="1" applyProtection="1">
      <alignment horizontal="center" vertical="center"/>
      <protection locked="0"/>
    </xf>
    <xf numFmtId="164" fontId="0" fillId="6" borderId="5" xfId="0" applyNumberFormat="1" applyFill="1" applyBorder="1" applyAlignment="1">
      <alignment horizontal="right" vertical="center"/>
    </xf>
    <xf numFmtId="164" fontId="0" fillId="5" borderId="5" xfId="0" applyNumberFormat="1" applyFill="1" applyBorder="1" applyAlignment="1">
      <alignment horizontal="right" vertical="center"/>
    </xf>
    <xf numFmtId="0" fontId="9" fillId="0" borderId="4" xfId="0" applyFont="1" applyBorder="1" applyAlignment="1" applyProtection="1">
      <alignment horizontal="left" vertical="center" indent="1"/>
      <protection locked="0"/>
    </xf>
    <xf numFmtId="164" fontId="3" fillId="0" borderId="8" xfId="0" applyNumberFormat="1" applyFont="1" applyBorder="1" applyAlignment="1" applyProtection="1">
      <alignment horizontal="right" vertical="center"/>
      <protection locked="0"/>
    </xf>
    <xf numFmtId="165" fontId="3" fillId="0" borderId="8" xfId="0" applyNumberFormat="1" applyFont="1" applyBorder="1" applyAlignment="1" applyProtection="1">
      <alignment horizontal="center" vertical="center"/>
      <protection locked="0"/>
    </xf>
    <xf numFmtId="0" fontId="10" fillId="3" borderId="6" xfId="0" applyFont="1" applyFill="1" applyBorder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charset val="1"/>
        <scheme val="none"/>
      </font>
      <fill>
        <patternFill patternType="solid">
          <fgColor rgb="FFE2EFDA"/>
          <bgColor rgb="FFEBF0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0B8C9"/>
        </left>
        <right/>
        <top style="thin">
          <color rgb="FFB0B8C9"/>
        </top>
        <bottom style="thin">
          <color rgb="FFB0B8C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charset val="1"/>
        <scheme val="none"/>
      </font>
      <numFmt numFmtId="164" formatCode="&quot;R$ &quot;#,##0.00;&quot;(R$ &quot;#,##0.00\);\-"/>
      <alignment horizontal="right" vertical="center" textRotation="0" wrapText="0" indent="0" justifyLastLine="0" shrinkToFit="0" readingOrder="0"/>
      <border diagonalUp="0" diagonalDown="0">
        <left style="thin">
          <color rgb="FFB0B8C9"/>
        </left>
        <right style="thin">
          <color rgb="FFB0B8C9"/>
        </right>
        <top style="thin">
          <color rgb="FFB0B8C9"/>
        </top>
        <bottom style="thin">
          <color rgb="FFB0B8C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charset val="1"/>
        <scheme val="none"/>
      </font>
      <numFmt numFmtId="165" formatCode="0.00%;\-0.00%;\-"/>
      <alignment horizontal="center" vertical="center" textRotation="0" wrapText="0" indent="0" justifyLastLine="0" shrinkToFit="0" readingOrder="0"/>
      <border diagonalUp="0" diagonalDown="0">
        <left style="thin">
          <color rgb="FFB0B8C9"/>
        </left>
        <right style="thin">
          <color rgb="FFB0B8C9"/>
        </right>
        <top style="thin">
          <color rgb="FFB0B8C9"/>
        </top>
        <bottom style="thin">
          <color rgb="FFB0B8C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charset val="1"/>
        <scheme val="none"/>
      </font>
      <alignment horizontal="left" vertical="center" textRotation="0" wrapText="0" indent="1" justifyLastLine="0" shrinkToFit="0" readingOrder="0"/>
      <border diagonalUp="0" diagonalDown="0">
        <left style="thin">
          <color rgb="FFB0B8C9"/>
        </left>
        <right style="thin">
          <color rgb="FFB0B8C9"/>
        </right>
        <top style="thin">
          <color rgb="FFB0B8C9"/>
        </top>
        <bottom style="thin">
          <color rgb="FFB0B8C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charset val="1"/>
        <scheme val="none"/>
      </font>
      <numFmt numFmtId="164" formatCode="&quot;R$ &quot;#,##0.00;&quot;(R$ &quot;#,##0.00\);\-"/>
      <alignment horizontal="right" vertical="center" textRotation="0" wrapText="0" indent="0" justifyLastLine="0" shrinkToFit="0" readingOrder="0"/>
      <border diagonalUp="0" diagonalDown="0">
        <left style="thin">
          <color rgb="FFB0B8C9"/>
        </left>
        <right style="thin">
          <color rgb="FFB0B8C9"/>
        </right>
        <top style="thin">
          <color rgb="FFB0B8C9"/>
        </top>
        <bottom style="thin">
          <color rgb="FFB0B8C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charset val="1"/>
        <scheme val="none"/>
      </font>
      <alignment horizontal="left" vertical="center" textRotation="0" wrapText="0" indent="1" justifyLastLine="0" shrinkToFit="0" readingOrder="0"/>
      <border diagonalUp="0" diagonalDown="0">
        <left/>
        <right style="thin">
          <color rgb="FFB0B8C9"/>
        </right>
        <top style="thin">
          <color rgb="FFB0B8C9"/>
        </top>
        <bottom style="thin">
          <color rgb="FFB0B8C9"/>
        </bottom>
        <vertical/>
        <horizontal/>
      </border>
      <protection locked="0" hidden="0"/>
    </dxf>
    <dxf>
      <border outline="0">
        <top style="thin">
          <color rgb="FFB0B8C9"/>
        </top>
      </border>
    </dxf>
    <dxf>
      <border outline="0">
        <bottom style="thin">
          <color rgb="FFB0B8C9"/>
        </bottom>
      </border>
    </dxf>
    <dxf>
      <border outline="0">
        <bottom style="thin">
          <color rgb="FFB0B8C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charset val="1"/>
        <scheme val="none"/>
      </font>
      <fill>
        <patternFill patternType="solid">
          <fgColor rgb="FF333333"/>
          <bgColor rgb="FF1F38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0B8C9"/>
        </left>
        <right style="thin">
          <color rgb="FFB0B8C9"/>
        </right>
        <top/>
        <bottom/>
      </border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276221"/>
        <name val="Arial"/>
        <charset val="1"/>
      </font>
      <fill>
        <patternFill>
          <bgColor rgb="FFC6EFCE"/>
        </patternFill>
      </fill>
    </dxf>
    <dxf>
      <font>
        <b val="0"/>
        <i val="0"/>
        <color rgb="FFFFF1C5"/>
      </font>
      <fill>
        <patternFill>
          <bgColor rgb="FFFFC000"/>
        </patternFill>
      </fill>
    </dxf>
    <dxf>
      <font>
        <b/>
        <sz val="10"/>
        <color rgb="FF1F3864"/>
        <name val="Arial"/>
        <charset val="1"/>
      </font>
      <fill>
        <patternFill>
          <bgColor rgb="FFDAE3F3"/>
        </patternFill>
      </fill>
    </dxf>
    <dxf>
      <font>
        <b/>
        <sz val="10"/>
        <color rgb="FF7F6000"/>
        <name val="Arial"/>
        <charset val="1"/>
      </font>
      <fill>
        <patternFill>
          <bgColor rgb="FFFFE69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276221"/>
        <name val="Arial"/>
        <charset val="1"/>
      </font>
      <fill>
        <patternFill>
          <bgColor rgb="FFC6EFCE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276221"/>
        <name val="Arial"/>
        <charset val="1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276221"/>
      <rgbColor rgb="FF000080"/>
      <rgbColor rgb="FF7F6000"/>
      <rgbColor rgb="FF800080"/>
      <rgbColor rgb="FF008080"/>
      <rgbColor rgb="FFB0B8C9"/>
      <rgbColor rgb="FF808080"/>
      <rgbColor rgb="FF9999FF"/>
      <rgbColor rgb="FF993366"/>
      <rgbColor rgb="FFE2EFDA"/>
      <rgbColor rgb="FFEBF0FA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6E4F0"/>
      <rgbColor rgb="FFC6EFCE"/>
      <rgbColor rgb="FFFFE6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1C5"/>
      <color rgb="FFFFE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57150</xdr:rowOff>
        </xdr:from>
        <xdr:to>
          <xdr:col>9</xdr:col>
          <xdr:colOff>476250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↻ Resetar planilha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C35EDA-DD9D-4381-8503-A2A539FBA073}" name="Tabela1" displayName="Tabela1" ref="A2:G37" totalsRowShown="0" headerRowDxfId="10" headerRowBorderDxfId="9" tableBorderDxfId="8" totalsRowBorderDxfId="7">
  <autoFilter ref="A2:G37" xr:uid="{00000000-0009-0000-0000-000000000000}"/>
  <sortState xmlns:xlrd2="http://schemas.microsoft.com/office/spreadsheetml/2017/richdata2" ref="A3:G37">
    <sortCondition ref="A2:A37"/>
  </sortState>
  <tableColumns count="7">
    <tableColumn id="1" xr3:uid="{602DBA4E-17AC-4FBD-A7E4-DD53047DA8E7}" name="Cliente" dataDxfId="6"/>
    <tableColumn id="2" xr3:uid="{0F5B5014-A6F4-459B-9882-FC2043D4086F}" name="Valor (R$)" dataDxfId="5"/>
    <tableColumn id="3" xr3:uid="{D55675D9-A3A6-4829-A377-8817D81C9411}" name="Aplicação" dataDxfId="4"/>
    <tableColumn id="4" xr3:uid="{574A1D78-AC88-42AC-89CC-72F3885EC821}" name="ROA (%)" dataDxfId="3"/>
    <tableColumn id="5" xr3:uid="{0FD840C3-4FAE-4284-A433-8DDD7C4A676F}" name="Receita Gerada (R$)" dataDxfId="2">
      <calculatedColumnFormula>IF(AND(B3&lt;&gt;"",D3&lt;&gt;"",OR(F3="Feito",F3="Reserva")),B3*D3,"")</calculatedColumnFormula>
    </tableColumn>
    <tableColumn id="6" xr3:uid="{4FE4C409-6C9D-40FF-909C-AA23163AE508}" name="Status" dataDxfId="1"/>
    <tableColumn id="7" xr3:uid="{6841A803-DBB8-4024-93A5-C66E5B0549ED}" name="Lanç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tabSelected="1" zoomScale="70" zoomScaleNormal="70" workbookViewId="0">
      <pane ySplit="2" topLeftCell="A9" activePane="bottomLeft" state="frozen"/>
      <selection pane="bottomLeft" activeCell="E39" sqref="E39"/>
    </sheetView>
  </sheetViews>
  <sheetFormatPr defaultColWidth="8.7109375" defaultRowHeight="15" x14ac:dyDescent="0.25"/>
  <cols>
    <col min="1" max="1" width="30" customWidth="1"/>
    <col min="2" max="2" width="20" customWidth="1"/>
    <col min="3" max="3" width="25" customWidth="1"/>
    <col min="4" max="4" width="15" customWidth="1"/>
    <col min="5" max="6" width="25" customWidth="1"/>
    <col min="7" max="7" width="22.85546875" customWidth="1"/>
  </cols>
  <sheetData>
    <row r="1" spans="1:7" ht="30" customHeight="1" x14ac:dyDescent="0.25">
      <c r="A1" s="38" t="s">
        <v>0</v>
      </c>
      <c r="B1" s="38"/>
      <c r="C1" s="38"/>
      <c r="D1" s="38"/>
      <c r="E1" s="38"/>
      <c r="F1" s="38"/>
      <c r="G1" s="38"/>
    </row>
    <row r="2" spans="1:7" ht="21.75" customHeight="1" x14ac:dyDescent="0.25">
      <c r="A2" s="1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3" t="s">
        <v>6</v>
      </c>
      <c r="G2" s="2" t="s">
        <v>11</v>
      </c>
    </row>
    <row r="3" spans="1:7" ht="18" customHeight="1" x14ac:dyDescent="0.25">
      <c r="A3" s="4" t="s">
        <v>40</v>
      </c>
      <c r="B3" s="5">
        <v>12000</v>
      </c>
      <c r="C3" s="6" t="s">
        <v>22</v>
      </c>
      <c r="D3" s="7">
        <v>1.7999999999999999E-2</v>
      </c>
      <c r="E3" s="8">
        <f t="shared" ref="E3:E37" si="0">IF(AND(B3&lt;&gt;"",D3&lt;&gt;"",OR(F3="Feito",F3="Reserva")),B3*D3,"")</f>
        <v>215.99999999999997</v>
      </c>
      <c r="F3" s="9" t="s">
        <v>38</v>
      </c>
      <c r="G3" s="26"/>
    </row>
    <row r="4" spans="1:7" ht="18" customHeight="1" x14ac:dyDescent="0.25">
      <c r="A4" s="4" t="s">
        <v>14</v>
      </c>
      <c r="B4" s="5">
        <v>29119</v>
      </c>
      <c r="C4" s="6" t="s">
        <v>32</v>
      </c>
      <c r="D4" s="7">
        <v>1.21E-2</v>
      </c>
      <c r="E4" s="8">
        <f t="shared" si="0"/>
        <v>352.3399</v>
      </c>
      <c r="F4" s="9" t="s">
        <v>7</v>
      </c>
      <c r="G4" s="26"/>
    </row>
    <row r="5" spans="1:7" ht="18" customHeight="1" x14ac:dyDescent="0.25">
      <c r="A5" s="4" t="s">
        <v>14</v>
      </c>
      <c r="B5" s="5">
        <v>19435</v>
      </c>
      <c r="C5" s="6" t="s">
        <v>18</v>
      </c>
      <c r="D5" s="7">
        <v>2.3E-2</v>
      </c>
      <c r="E5" s="8">
        <f t="shared" si="0"/>
        <v>447.005</v>
      </c>
      <c r="F5" s="10" t="s">
        <v>7</v>
      </c>
      <c r="G5" s="26"/>
    </row>
    <row r="6" spans="1:7" ht="18" customHeight="1" x14ac:dyDescent="0.25">
      <c r="A6" s="4" t="s">
        <v>14</v>
      </c>
      <c r="B6" s="5">
        <v>30000</v>
      </c>
      <c r="C6" s="6" t="s">
        <v>19</v>
      </c>
      <c r="D6" s="7">
        <v>1.4999999999999999E-2</v>
      </c>
      <c r="E6" s="8">
        <f t="shared" si="0"/>
        <v>450</v>
      </c>
      <c r="F6" s="9" t="s">
        <v>7</v>
      </c>
      <c r="G6" s="26"/>
    </row>
    <row r="7" spans="1:7" ht="18" customHeight="1" x14ac:dyDescent="0.25">
      <c r="A7" s="4"/>
      <c r="B7" s="5"/>
      <c r="C7" s="6"/>
      <c r="D7" s="7"/>
      <c r="E7" s="8" t="str">
        <f t="shared" si="0"/>
        <v/>
      </c>
      <c r="F7" s="9" t="s">
        <v>8</v>
      </c>
      <c r="G7" s="26"/>
    </row>
    <row r="8" spans="1:7" ht="18" customHeight="1" x14ac:dyDescent="0.25">
      <c r="A8" s="4" t="s">
        <v>25</v>
      </c>
      <c r="B8" s="11">
        <v>5000</v>
      </c>
      <c r="C8" s="6" t="s">
        <v>22</v>
      </c>
      <c r="D8" s="12">
        <v>1.7999999999999999E-2</v>
      </c>
      <c r="E8" s="8">
        <f t="shared" si="0"/>
        <v>90</v>
      </c>
      <c r="F8" s="10" t="s">
        <v>38</v>
      </c>
      <c r="G8" s="26"/>
    </row>
    <row r="9" spans="1:7" ht="18" customHeight="1" x14ac:dyDescent="0.25">
      <c r="A9" s="4" t="s">
        <v>25</v>
      </c>
      <c r="B9" s="11">
        <v>6000</v>
      </c>
      <c r="C9" s="6" t="s">
        <v>37</v>
      </c>
      <c r="D9" s="12">
        <v>0.02</v>
      </c>
      <c r="E9" s="8">
        <f t="shared" si="0"/>
        <v>120</v>
      </c>
      <c r="F9" s="9" t="s">
        <v>7</v>
      </c>
      <c r="G9" s="26"/>
    </row>
    <row r="10" spans="1:7" ht="18" customHeight="1" x14ac:dyDescent="0.25">
      <c r="A10" s="4" t="s">
        <v>13</v>
      </c>
      <c r="B10" s="11">
        <v>3000</v>
      </c>
      <c r="C10" s="6" t="s">
        <v>20</v>
      </c>
      <c r="D10" s="12">
        <v>2.1999999999999999E-2</v>
      </c>
      <c r="E10" s="8">
        <f t="shared" si="0"/>
        <v>66</v>
      </c>
      <c r="F10" s="10" t="s">
        <v>7</v>
      </c>
      <c r="G10" s="26"/>
    </row>
    <row r="11" spans="1:7" ht="18" customHeight="1" x14ac:dyDescent="0.25">
      <c r="A11" s="4" t="s">
        <v>31</v>
      </c>
      <c r="B11" s="5">
        <v>14000</v>
      </c>
      <c r="C11" s="6" t="s">
        <v>22</v>
      </c>
      <c r="D11" s="7">
        <v>1.7999999999999999E-2</v>
      </c>
      <c r="E11" s="8">
        <f t="shared" si="0"/>
        <v>251.99999999999997</v>
      </c>
      <c r="F11" s="10" t="s">
        <v>38</v>
      </c>
      <c r="G11" s="26"/>
    </row>
    <row r="12" spans="1:7" ht="18" customHeight="1" x14ac:dyDescent="0.25">
      <c r="A12" s="4" t="s">
        <v>21</v>
      </c>
      <c r="B12" s="11">
        <v>10000</v>
      </c>
      <c r="C12" s="6" t="s">
        <v>22</v>
      </c>
      <c r="D12" s="12">
        <v>1.7999999999999999E-2</v>
      </c>
      <c r="E12" s="8">
        <f t="shared" si="0"/>
        <v>180</v>
      </c>
      <c r="F12" s="36" t="s">
        <v>38</v>
      </c>
      <c r="G12" s="26"/>
    </row>
    <row r="13" spans="1:7" ht="18" customHeight="1" x14ac:dyDescent="0.25">
      <c r="A13" s="4" t="s">
        <v>30</v>
      </c>
      <c r="B13" s="5">
        <v>25000</v>
      </c>
      <c r="C13" s="6" t="s">
        <v>22</v>
      </c>
      <c r="D13" s="7">
        <v>1.7999999999999999E-2</v>
      </c>
      <c r="E13" s="8" t="str">
        <f t="shared" si="0"/>
        <v/>
      </c>
      <c r="F13" s="9" t="s">
        <v>33</v>
      </c>
      <c r="G13" s="26"/>
    </row>
    <row r="14" spans="1:7" ht="18" customHeight="1" x14ac:dyDescent="0.25">
      <c r="A14" s="4" t="s">
        <v>29</v>
      </c>
      <c r="B14" s="5">
        <v>10000</v>
      </c>
      <c r="C14" s="6" t="s">
        <v>22</v>
      </c>
      <c r="D14" s="7">
        <v>1.7999999999999999E-2</v>
      </c>
      <c r="E14" s="8" t="str">
        <f t="shared" si="0"/>
        <v/>
      </c>
      <c r="F14" s="9" t="s">
        <v>41</v>
      </c>
      <c r="G14" s="26"/>
    </row>
    <row r="15" spans="1:7" ht="18" customHeight="1" x14ac:dyDescent="0.25">
      <c r="A15" s="4" t="s">
        <v>34</v>
      </c>
      <c r="B15" s="5">
        <v>25000</v>
      </c>
      <c r="C15" s="6" t="s">
        <v>22</v>
      </c>
      <c r="D15" s="7">
        <v>1.7999999999999999E-2</v>
      </c>
      <c r="E15" s="8" t="str">
        <f t="shared" si="0"/>
        <v/>
      </c>
      <c r="F15" s="10" t="s">
        <v>8</v>
      </c>
      <c r="G15" s="26"/>
    </row>
    <row r="16" spans="1:7" ht="18" customHeight="1" x14ac:dyDescent="0.25">
      <c r="A16" s="4" t="s">
        <v>23</v>
      </c>
      <c r="B16" s="11">
        <v>7000</v>
      </c>
      <c r="C16" s="6" t="s">
        <v>22</v>
      </c>
      <c r="D16" s="12">
        <v>1.7999999999999999E-2</v>
      </c>
      <c r="E16" s="8">
        <f t="shared" si="0"/>
        <v>125.99999999999999</v>
      </c>
      <c r="F16" s="10" t="s">
        <v>38</v>
      </c>
      <c r="G16" s="26"/>
    </row>
    <row r="17" spans="1:7" ht="18" customHeight="1" x14ac:dyDescent="0.25">
      <c r="A17" s="4" t="s">
        <v>15</v>
      </c>
      <c r="B17" s="11">
        <v>17435.900000000001</v>
      </c>
      <c r="C17" s="6" t="s">
        <v>17</v>
      </c>
      <c r="D17" s="12">
        <v>0.02</v>
      </c>
      <c r="E17" s="8">
        <f t="shared" si="0"/>
        <v>348.71800000000002</v>
      </c>
      <c r="F17" s="9" t="s">
        <v>7</v>
      </c>
      <c r="G17" s="26"/>
    </row>
    <row r="18" spans="1:7" ht="18" customHeight="1" x14ac:dyDescent="0.25">
      <c r="A18" s="4" t="s">
        <v>15</v>
      </c>
      <c r="B18" s="11">
        <v>22475</v>
      </c>
      <c r="C18" s="6" t="s">
        <v>16</v>
      </c>
      <c r="D18" s="12">
        <v>0.02</v>
      </c>
      <c r="E18" s="8">
        <f t="shared" si="0"/>
        <v>449.5</v>
      </c>
      <c r="F18" s="10" t="s">
        <v>7</v>
      </c>
      <c r="G18" s="26"/>
    </row>
    <row r="19" spans="1:7" ht="18" customHeight="1" x14ac:dyDescent="0.25">
      <c r="A19" s="4" t="s">
        <v>15</v>
      </c>
      <c r="B19" s="5">
        <v>20000</v>
      </c>
      <c r="C19" s="6" t="s">
        <v>39</v>
      </c>
      <c r="D19" s="7">
        <v>1.7999999999999999E-2</v>
      </c>
      <c r="E19" s="8" t="str">
        <f t="shared" si="0"/>
        <v/>
      </c>
      <c r="F19" s="10" t="s">
        <v>33</v>
      </c>
      <c r="G19" s="26"/>
    </row>
    <row r="20" spans="1:7" ht="18" customHeight="1" x14ac:dyDescent="0.25">
      <c r="A20" s="4" t="s">
        <v>35</v>
      </c>
      <c r="B20" s="5">
        <v>6000</v>
      </c>
      <c r="C20" s="6" t="s">
        <v>22</v>
      </c>
      <c r="D20" s="7">
        <v>1.7999999999999999E-2</v>
      </c>
      <c r="E20" s="8" t="str">
        <f t="shared" si="0"/>
        <v/>
      </c>
      <c r="F20" s="10" t="s">
        <v>33</v>
      </c>
      <c r="G20" s="26"/>
    </row>
    <row r="21" spans="1:7" ht="18" customHeight="1" x14ac:dyDescent="0.25">
      <c r="A21" s="4" t="s">
        <v>35</v>
      </c>
      <c r="B21" s="5">
        <v>10000</v>
      </c>
      <c r="C21" s="6" t="s">
        <v>36</v>
      </c>
      <c r="D21" s="7">
        <v>0.02</v>
      </c>
      <c r="E21" s="8">
        <f t="shared" si="0"/>
        <v>200</v>
      </c>
      <c r="F21" s="9" t="s">
        <v>7</v>
      </c>
      <c r="G21" s="26"/>
    </row>
    <row r="22" spans="1:7" ht="18" customHeight="1" x14ac:dyDescent="0.25">
      <c r="A22" s="4" t="s">
        <v>26</v>
      </c>
      <c r="B22" s="11">
        <v>10000</v>
      </c>
      <c r="C22" s="6" t="s">
        <v>22</v>
      </c>
      <c r="D22" s="12">
        <v>1.7999999999999999E-2</v>
      </c>
      <c r="E22" s="8" t="str">
        <f t="shared" si="0"/>
        <v/>
      </c>
      <c r="F22" s="10" t="s">
        <v>8</v>
      </c>
      <c r="G22" s="26"/>
    </row>
    <row r="23" spans="1:7" ht="18" customHeight="1" x14ac:dyDescent="0.25">
      <c r="A23" s="4" t="s">
        <v>27</v>
      </c>
      <c r="B23" s="11">
        <v>5000</v>
      </c>
      <c r="C23" s="6" t="s">
        <v>22</v>
      </c>
      <c r="D23" s="12">
        <v>1.7999999999999999E-2</v>
      </c>
      <c r="E23" s="8" t="str">
        <f t="shared" si="0"/>
        <v/>
      </c>
      <c r="F23" s="9" t="s">
        <v>33</v>
      </c>
      <c r="G23" s="26"/>
    </row>
    <row r="24" spans="1:7" ht="18" customHeight="1" x14ac:dyDescent="0.25">
      <c r="A24" s="4" t="s">
        <v>27</v>
      </c>
      <c r="B24" s="5">
        <v>12000</v>
      </c>
      <c r="C24" s="6" t="s">
        <v>37</v>
      </c>
      <c r="D24" s="7">
        <v>0.02</v>
      </c>
      <c r="E24" s="8" t="str">
        <f t="shared" si="0"/>
        <v/>
      </c>
      <c r="F24" s="10" t="s">
        <v>33</v>
      </c>
      <c r="G24" s="26"/>
    </row>
    <row r="25" spans="1:7" ht="18" customHeight="1" x14ac:dyDescent="0.25">
      <c r="A25" s="24" t="s">
        <v>12</v>
      </c>
      <c r="B25" s="34">
        <v>4950</v>
      </c>
      <c r="C25" s="25" t="s">
        <v>12</v>
      </c>
      <c r="D25" s="35">
        <v>1</v>
      </c>
      <c r="E25" s="8">
        <f t="shared" si="0"/>
        <v>4950</v>
      </c>
      <c r="F25" s="9" t="s">
        <v>7</v>
      </c>
      <c r="G25" s="26"/>
    </row>
    <row r="26" spans="1:7" ht="18" customHeight="1" x14ac:dyDescent="0.25">
      <c r="A26" s="4" t="s">
        <v>24</v>
      </c>
      <c r="B26" s="11">
        <v>7000</v>
      </c>
      <c r="C26" s="6" t="s">
        <v>22</v>
      </c>
      <c r="D26" s="12">
        <v>1.7999999999999999E-2</v>
      </c>
      <c r="E26" s="8" t="str">
        <f t="shared" si="0"/>
        <v/>
      </c>
      <c r="F26" s="9" t="s">
        <v>33</v>
      </c>
      <c r="G26" s="26"/>
    </row>
    <row r="27" spans="1:7" ht="18" customHeight="1" x14ac:dyDescent="0.25">
      <c r="A27" s="4" t="s">
        <v>28</v>
      </c>
      <c r="B27" s="11">
        <v>6000</v>
      </c>
      <c r="C27" s="6" t="s">
        <v>22</v>
      </c>
      <c r="D27" s="12">
        <v>1.7999999999999999E-2</v>
      </c>
      <c r="E27" s="8" t="str">
        <f t="shared" si="0"/>
        <v/>
      </c>
      <c r="F27" s="10" t="s">
        <v>8</v>
      </c>
      <c r="G27" s="26"/>
    </row>
    <row r="28" spans="1:7" ht="18" customHeight="1" x14ac:dyDescent="0.25">
      <c r="A28" s="4" t="s">
        <v>42</v>
      </c>
      <c r="B28" s="5">
        <v>8000</v>
      </c>
      <c r="C28" s="6" t="s">
        <v>37</v>
      </c>
      <c r="D28" s="7">
        <v>0.02</v>
      </c>
      <c r="E28" s="8" t="str">
        <f t="shared" si="0"/>
        <v/>
      </c>
      <c r="F28" s="9" t="s">
        <v>8</v>
      </c>
      <c r="G28" s="26"/>
    </row>
    <row r="29" spans="1:7" ht="18" customHeight="1" x14ac:dyDescent="0.25">
      <c r="A29" s="4"/>
      <c r="B29" s="11"/>
      <c r="C29" s="6"/>
      <c r="D29" s="12"/>
      <c r="E29" s="8" t="str">
        <f t="shared" si="0"/>
        <v/>
      </c>
      <c r="F29" s="9" t="s">
        <v>8</v>
      </c>
      <c r="G29" s="26"/>
    </row>
    <row r="30" spans="1:7" ht="18" customHeight="1" x14ac:dyDescent="0.25">
      <c r="A30" s="4"/>
      <c r="B30" s="5"/>
      <c r="C30" s="6"/>
      <c r="D30" s="7"/>
      <c r="E30" s="8" t="str">
        <f t="shared" si="0"/>
        <v/>
      </c>
      <c r="F30" s="9" t="s">
        <v>8</v>
      </c>
      <c r="G30" s="26"/>
    </row>
    <row r="31" spans="1:7" ht="18" customHeight="1" x14ac:dyDescent="0.25">
      <c r="A31" s="4"/>
      <c r="B31" s="5"/>
      <c r="C31" s="6"/>
      <c r="D31" s="7"/>
      <c r="E31" s="8" t="str">
        <f t="shared" si="0"/>
        <v/>
      </c>
      <c r="F31" s="9" t="s">
        <v>8</v>
      </c>
      <c r="G31" s="26"/>
    </row>
    <row r="32" spans="1:7" ht="18" customHeight="1" x14ac:dyDescent="0.25">
      <c r="A32" s="4"/>
      <c r="B32" s="5"/>
      <c r="C32" s="6"/>
      <c r="D32" s="7"/>
      <c r="E32" s="8" t="str">
        <f t="shared" si="0"/>
        <v/>
      </c>
      <c r="F32" s="10" t="s">
        <v>8</v>
      </c>
      <c r="G32" s="26"/>
    </row>
    <row r="33" spans="1:7" ht="18" customHeight="1" x14ac:dyDescent="0.25">
      <c r="A33" s="4"/>
      <c r="B33" s="5"/>
      <c r="C33" s="6"/>
      <c r="D33" s="7"/>
      <c r="E33" s="8" t="str">
        <f t="shared" si="0"/>
        <v/>
      </c>
      <c r="F33" s="10" t="s">
        <v>8</v>
      </c>
      <c r="G33" s="26"/>
    </row>
    <row r="34" spans="1:7" ht="18" customHeight="1" x14ac:dyDescent="0.25">
      <c r="A34" s="4"/>
      <c r="B34" s="5"/>
      <c r="C34" s="6"/>
      <c r="D34" s="7"/>
      <c r="E34" s="8" t="str">
        <f t="shared" si="0"/>
        <v/>
      </c>
      <c r="F34" s="9" t="s">
        <v>8</v>
      </c>
      <c r="G34" s="26"/>
    </row>
    <row r="35" spans="1:7" ht="18" customHeight="1" x14ac:dyDescent="0.25">
      <c r="A35" s="4"/>
      <c r="B35" s="5"/>
      <c r="C35" s="6"/>
      <c r="D35" s="7"/>
      <c r="E35" s="8" t="str">
        <f t="shared" si="0"/>
        <v/>
      </c>
      <c r="F35" s="10" t="s">
        <v>8</v>
      </c>
      <c r="G35" s="26"/>
    </row>
    <row r="36" spans="1:7" ht="18" customHeight="1" x14ac:dyDescent="0.25">
      <c r="A36" s="24"/>
      <c r="B36" s="34"/>
      <c r="C36" s="25"/>
      <c r="D36" s="35"/>
      <c r="E36" s="8" t="str">
        <f t="shared" si="0"/>
        <v/>
      </c>
      <c r="F36" s="37" t="s">
        <v>8</v>
      </c>
      <c r="G36" s="26"/>
    </row>
    <row r="37" spans="1:7" ht="18" customHeight="1" x14ac:dyDescent="0.25">
      <c r="A37" s="33"/>
      <c r="B37" s="28"/>
      <c r="C37" s="29"/>
      <c r="D37" s="30"/>
      <c r="E37" s="8" t="str">
        <f t="shared" si="0"/>
        <v/>
      </c>
      <c r="F37" s="27" t="s">
        <v>8</v>
      </c>
      <c r="G37" s="26"/>
    </row>
    <row r="38" spans="1:7" ht="21.75" customHeight="1" x14ac:dyDescent="0.25">
      <c r="A38" s="19"/>
      <c r="B38" s="20"/>
      <c r="C38" s="19"/>
      <c r="D38" s="21"/>
      <c r="E38" s="22"/>
      <c r="F38" s="23"/>
    </row>
    <row r="39" spans="1:7" ht="21.75" customHeight="1" x14ac:dyDescent="0.25">
      <c r="A39" s="13" t="s">
        <v>9</v>
      </c>
      <c r="B39" s="32">
        <f>SUMIF(B3:B37,"&lt;&gt;"&amp;"",B3:B37)</f>
        <v>324414.90000000002</v>
      </c>
      <c r="C39" s="14"/>
      <c r="D39" s="15">
        <f>IFERROR(E39/B39,"")</f>
        <v>2.5422885631948472E-2</v>
      </c>
      <c r="E39" s="32">
        <f>SUMIF(E3:E37,"&lt;&gt;"&amp;"",E3:E37)</f>
        <v>8247.5629000000008</v>
      </c>
      <c r="F39" s="14"/>
    </row>
    <row r="40" spans="1:7" x14ac:dyDescent="0.25">
      <c r="A40" s="16" t="s">
        <v>10</v>
      </c>
      <c r="B40" s="31">
        <f>SUMIF(B3:B37,"&lt;&gt;"&amp;"",B3:B37)</f>
        <v>324414.90000000002</v>
      </c>
      <c r="C40" s="17"/>
      <c r="D40" s="18">
        <f>IFERROR(E40/B40,"")</f>
        <v>3.2981108142690119E-2</v>
      </c>
      <c r="E40" s="31">
        <f>SUMPRODUCT((B3:B37&lt;&gt;"")*(D3:D37&lt;&gt;"")*B3:B37*D3:D37)</f>
        <v>10699.562900000001</v>
      </c>
      <c r="F40" s="17"/>
    </row>
  </sheetData>
  <sheetProtection selectLockedCells="1" selectUnlockedCells="1"/>
  <mergeCells count="1">
    <mergeCell ref="A1:G1"/>
  </mergeCells>
  <conditionalFormatting sqref="F3:F38">
    <cfRule type="expression" dxfId="19" priority="4">
      <formula>F3="Feito"</formula>
    </cfRule>
    <cfRule type="expression" dxfId="18" priority="5">
      <formula>F3="Não Feito"</formula>
    </cfRule>
  </conditionalFormatting>
  <conditionalFormatting sqref="F3:F37">
    <cfRule type="expression" dxfId="17" priority="8">
      <formula>F3="Feito"</formula>
    </cfRule>
    <cfRule type="expression" dxfId="16" priority="9">
      <formula>F3="Não Feito"</formula>
    </cfRule>
    <cfRule type="expression" dxfId="15" priority="10">
      <formula>F3="Push enviado"</formula>
    </cfRule>
    <cfRule type="expression" dxfId="14" priority="11">
      <formula>F3="Mensagem enviada"</formula>
    </cfRule>
    <cfRule type="expression" dxfId="13" priority="1">
      <formula>F3="Reserva"</formula>
    </cfRule>
  </conditionalFormatting>
  <conditionalFormatting sqref="G3:G37">
    <cfRule type="expression" dxfId="12" priority="2">
      <formula>G3="Sim"</formula>
    </cfRule>
    <cfRule type="expression" dxfId="11" priority="3">
      <formula>G3="Não"</formula>
    </cfRule>
  </conditionalFormatting>
  <dataValidations count="2">
    <dataValidation type="list" showErrorMessage="1" errorTitle="Valor inválido" error="Selecione uma das opções disponíveis" sqref="F3:F37" xr:uid="{00000000-0002-0000-0000-000000000000}">
      <formula1>"Feito,Não Feito,Push enviado,Mensagem enviada,Reserva"</formula1>
    </dataValidation>
    <dataValidation type="list" allowBlank="1" showInputMessage="1" showErrorMessage="1" sqref="G3:G37" xr:uid="{AF38A024-78E5-43BD-A2DF-B88BD1AE5CEA}">
      <formula1>"Sim,Não"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setarPipeline">
                <anchor moveWithCells="1" sizeWithCells="1">
                  <from>
                    <xdr:col>8</xdr:col>
                    <xdr:colOff>0</xdr:colOff>
                    <xdr:row>0</xdr:row>
                    <xdr:rowOff>57150</xdr:rowOff>
                  </from>
                  <to>
                    <xdr:col>9</xdr:col>
                    <xdr:colOff>476250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Pipeline de Receita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Gabriel Mann Winkelmann</cp:lastModifiedBy>
  <cp:revision>0</cp:revision>
  <dcterms:created xsi:type="dcterms:W3CDTF">2026-05-18T19:25:36Z</dcterms:created>
  <dcterms:modified xsi:type="dcterms:W3CDTF">2026-07-20T16:25:09Z</dcterms:modified>
  <dc:language>en-US</dc:language>
</cp:coreProperties>
</file>